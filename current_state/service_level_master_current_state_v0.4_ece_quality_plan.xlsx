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aaa0b1027b443c" /></Relationships>
</file>

<file path=xl/workbook.xml><?xml version="1.0" encoding="utf-8"?>
<x:workbook xmlns:x="http://schemas.openxmlformats.org/spreadsheetml/2006/main">
  <x:sheets>
    <x:sheet xmlns:r="http://schemas.openxmlformats.org/officeDocument/2006/relationships" name="Summary" sheetId="1" r:id="Radd057895db045eb"/>
    <x:sheet xmlns:r="http://schemas.openxmlformats.org/officeDocument/2006/relationships" name="Master Current State" sheetId="2" r:id="R348643fa4f7f4a4b"/>
    <x:sheet xmlns:r="http://schemas.openxmlformats.org/officeDocument/2006/relationships" name="Readiness Standard" sheetId="3" r:id="R191d81dc09a54bbf"/>
    <x:sheet xmlns:r="http://schemas.openxmlformats.org/officeDocument/2006/relationships" name="Follow-up Actions" sheetId="4" r:id="R0b947f845ea0446f"/>
    <x:sheet xmlns:r="http://schemas.openxmlformats.org/officeDocument/2006/relationships" name="Email Evidence" sheetId="5" r:id="R642dc3924a6a408b"/>
    <x:sheet xmlns:r="http://schemas.openxmlformats.org/officeDocument/2006/relationships" name="Dashboard Design Recommendation" sheetId="6" r:id="R4c1cce18dc934e9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143642"/>
      <x:name val="Carlito"/>
    </x:font>
    <x:font>
      <x:i/>
      <x:sz val="11"/>
      <x:color rgb="4B5563"/>
      <x:name val="Carlito"/>
    </x:font>
    <x:font>
      <x:b/>
      <x:sz val="11"/>
      <x:color rgb="FFFFFF"/>
      <x:name val="Carlito"/>
    </x:font>
    <x:font>
      <x:sz val="10"/>
      <x:color rgb="111827"/>
      <x:name val="Carlito"/>
    </x:font>
    <x:font>
      <x:b/>
      <x:sz val="10"/>
      <x:color rgb="143642"/>
      <x:name val="Aptos"/>
    </x:font>
    <x:font>
      <x:sz val="10"/>
      <x:name val="Aptos"/>
    </x:font>
    <x:font>
      <x:b/>
      <x:sz val="10"/>
      <x:color rgb="FFFFFF"/>
      <x:name val="Aptos"/>
    </x:font>
  </x:fonts>
  <x:fills count="4">
    <x:fill>
      <x:patternFill patternType="none"/>
    </x:fill>
    <x:fill>
      <x:patternFill patternType="gray125"/>
    </x:fill>
    <x:fill>
      <x:patternFill patternType="solid">
        <x:fgColor rgb="FFFFFF"/>
      </x:patternFill>
    </x:fill>
    <x:fill>
      <x:patternFill patternType="solid">
        <x:fgColor rgb="143642"/>
      </x:patternFill>
    </x:fill>
  </x:fills>
  <x:borders count="20">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left style="thin">
        <x:color rgb="CBD5E1"/>
      </x:left>
      <x:top style="thin">
        <x:color rgb="CBD5E1"/>
      </x:top>
    </x:border>
    <x:border>
      <x:top style="thin">
        <x:color rgb="CBD5E1"/>
      </x:top>
    </x:border>
    <x:border>
      <x:right style="thin">
        <x:color rgb="CBD5E1"/>
      </x:right>
      <x:top style="thin">
        <x:color rgb="CBD5E1"/>
      </x:top>
    </x:border>
    <x:border>
      <x:left style="thin">
        <x:color rgb="CBD5E1"/>
      </x:left>
      <x:right style="thin">
        <x:color rgb="E5E7EB"/>
      </x:right>
      <x:bottom style="thin">
        <x:color rgb="E5E7EB"/>
      </x:bottom>
    </x:border>
    <x:border>
      <x:left style="thin">
        <x:color rgb="E5E7EB"/>
      </x:left>
      <x:right style="thin">
        <x:color rgb="CBD5E1"/>
      </x:right>
      <x:bottom style="thin">
        <x:color rgb="E5E7EB"/>
      </x:bottom>
    </x:border>
    <x:border>
      <x:left style="thin">
        <x:color rgb="CBD5E1"/>
      </x:left>
      <x:right style="thin">
        <x:color rgb="E5E7EB"/>
      </x:right>
      <x:top style="thin">
        <x:color rgb="E5E7EB"/>
      </x:top>
      <x:bottom style="thin">
        <x:color rgb="E5E7EB"/>
      </x:bottom>
    </x:border>
    <x:border>
      <x:left style="thin">
        <x:color rgb="E5E7EB"/>
      </x:left>
      <x:right style="thin">
        <x:color rgb="CBD5E1"/>
      </x:right>
      <x:top style="thin">
        <x:color rgb="E5E7EB"/>
      </x:top>
      <x:bottom style="thin">
        <x:color rgb="E5E7EB"/>
      </x:bottom>
    </x:border>
    <x:border>
      <x:left style="thin">
        <x:color rgb="CBD5E1"/>
      </x:left>
      <x:right style="thin">
        <x:color rgb="E5E7EB"/>
      </x:right>
      <x:top style="thin">
        <x:color rgb="E5E7EB"/>
      </x:top>
      <x:bottom style="thin">
        <x:color rgb="CBD5E1"/>
      </x:bottom>
    </x:border>
    <x:border>
      <x:left style="thin">
        <x:color rgb="E5E7EB"/>
      </x:left>
      <x:right style="thin">
        <x:color rgb="E5E7EB"/>
      </x:right>
      <x:top style="thin">
        <x:color rgb="E5E7EB"/>
      </x:top>
      <x:bottom style="thin">
        <x:color rgb="CBD5E1"/>
      </x:bottom>
    </x:border>
    <x:border>
      <x:left style="thin">
        <x:color rgb="E5E7EB"/>
      </x:left>
      <x:right style="thin">
        <x:color rgb="CBD5E1"/>
      </x:right>
      <x:top style="thin">
        <x:color rgb="E5E7EB"/>
      </x:top>
      <x:bottom style="thin">
        <x:color rgb="CBD5E1"/>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3" fillId="3" borderId="10" xfId="0" applyNumberFormat="1" applyFont="1" applyFill="1" applyBorder="1" applyAlignment="1">
      <x:alignment horizontal="center" vertical="center" wrapText="1"/>
    </x:xf>
    <x:xf numFmtId="0" fontId="3" fillId="3" borderId="11" xfId="0" applyNumberFormat="1" applyFont="1" applyFill="1" applyBorder="1" applyAlignment="1">
      <x:alignment horizontal="center" vertical="center" wrapText="1"/>
    </x:xf>
    <x:xf numFmtId="0" fontId="3" fillId="3" borderId="12" xfId="0" applyNumberFormat="1" applyFont="1" applyFill="1" applyBorder="1" applyAlignment="1">
      <x:alignment horizontal="center" vertical="center"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5" fillId="2" borderId="0" xfId="0" applyNumberFormat="1" applyFont="1" applyFill="1" applyBorder="1"/>
    <x:xf numFmtId="0" fontId="6" fillId="0" borderId="0" xfId="0" applyNumberFormat="1" applyFont="1" applyFill="1" applyBorder="1"/>
    <x:xf numFmtId="0" fontId="7" fillId="3" borderId="10" xfId="0" applyNumberFormat="1" applyFont="1" applyFill="1" applyBorder="1" applyAlignment="1">
      <x:alignment horizontal="center" vertical="center" wrapText="1"/>
    </x:xf>
    <x:xf numFmtId="0" fontId="7" fillId="3" borderId="11" xfId="0" applyNumberFormat="1" applyFont="1" applyFill="1" applyBorder="1" applyAlignment="1">
      <x:alignment horizontal="center" vertical="center" wrapText="1"/>
    </x:xf>
    <x:xf numFmtId="0" fontId="7" fillId="3" borderId="12" xfId="0" applyNumberFormat="1" applyFont="1" applyFill="1" applyBorder="1" applyAlignment="1">
      <x:alignment horizontal="center" vertical="center" wrapText="1"/>
    </x:xf>
  </x:cellXfs>
  <x:cellStyles count="1">
    <x:cellStyle name="Normal" xfId="0"/>
  </x:cellStyles>
  <x:dxfs count="10">
    <x:dxf>
      <x:font>
        <x:b/>
        <x:color rgb="1E3A8A"/>
      </x:font>
      <x:fill>
        <x:patternFill patternType="solid">
          <x:bgColor rgb="DBEAFE"/>
        </x:patternFill>
      </x:fill>
    </x:dxf>
    <x:dxf>
      <x:font>
        <x:b/>
        <x:color rgb="92400E"/>
      </x:font>
      <x:fill>
        <x:patternFill patternType="solid">
          <x:bgColor rgb="FDE68A"/>
        </x:patternFill>
      </x:fill>
    </x:dxf>
    <x:dxf>
      <x:font>
        <x:b/>
        <x:color rgb="5B21B6"/>
      </x:font>
      <x:fill>
        <x:patternFill patternType="solid">
          <x:bgColor rgb="EDE9FE"/>
        </x:patternFill>
      </x:fill>
    </x:dxf>
    <x:dxf>
      <x:font>
        <x:b/>
        <x:color rgb="1E3A8A"/>
      </x:font>
      <x:fill>
        <x:patternFill patternType="solid">
          <x:bgColor rgb="DBEAFE"/>
        </x:patternFill>
      </x:fill>
    </x:dxf>
    <x:dxf>
      <x:font>
        <x:b/>
        <x:color rgb="92400E"/>
      </x:font>
      <x:fill>
        <x:patternFill patternType="solid">
          <x:bgColor rgb="FEF3C7"/>
        </x:patternFill>
      </x:fill>
    </x:dxf>
    <x:dxf>
      <x:font>
        <x:b/>
        <x:color rgb="7F1D1D"/>
      </x:font>
      <x:fill>
        <x:patternFill patternType="solid">
          <x:bgColor rgb="FCA5A5"/>
        </x:patternFill>
      </x:fill>
    </x:dxf>
    <x:dxf>
      <x:font>
        <x:b/>
        <x:color rgb="374151"/>
      </x:font>
      <x:fill>
        <x:patternFill patternType="solid">
          <x:bgColor rgb="E5E7EB"/>
        </x:patternFill>
      </x:fill>
    </x:dxf>
    <x:dxf>
      <x:font>
        <x:b/>
        <x:color rgb="5B21B6"/>
      </x:font>
      <x:fill>
        <x:patternFill patternType="solid">
          <x:bgColor rgb="EDE9FE"/>
        </x:patternFill>
      </x:fill>
    </x:dxf>
    <x:dxf>
      <x:font>
        <x:b/>
        <x:color rgb="7F1D1D"/>
      </x:font>
      <x:fill>
        <x:patternFill patternType="solid">
          <x:bgColor rgb="FCA5A5"/>
        </x:patternFill>
      </x:fill>
    </x:dxf>
    <x:dxf>
      <x:font>
        <x:b/>
        <x:color rgb="1E3A8A"/>
      </x:font>
      <x:fill>
        <x:patternFill patternType="solid">
          <x:bgColor rgb="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a4b68d888946fb" /><Relationship Type="http://schemas.openxmlformats.org/officeDocument/2006/relationships/theme" Target="/xl/theme/theme1.xml" Id="R9b6cb6c9a2494613" /><Relationship Type="http://schemas.openxmlformats.org/officeDocument/2006/relationships/sharedStrings" Target="/xl/sharedStrings.xml" Id="R0a974c8b4b5c4b4b" /><Relationship Type="http://schemas.openxmlformats.org/officeDocument/2006/relationships/worksheet" Target="/xl/worksheets/sheet1.xml" Id="Radd057895db045eb" /><Relationship Type="http://schemas.openxmlformats.org/officeDocument/2006/relationships/worksheet" Target="/xl/worksheets/sheet2.xml" Id="R348643fa4f7f4a4b" /><Relationship Type="http://schemas.openxmlformats.org/officeDocument/2006/relationships/worksheet" Target="/xl/worksheets/sheet3.xml" Id="R191d81dc09a54bbf" /><Relationship Type="http://schemas.openxmlformats.org/officeDocument/2006/relationships/worksheet" Target="/xl/worksheets/sheet4.xml" Id="R0b947f845ea0446f" /><Relationship Type="http://schemas.openxmlformats.org/officeDocument/2006/relationships/worksheet" Target="/xl/worksheets/sheet5.xml" Id="R642dc3924a6a408b" /><Relationship Type="http://schemas.openxmlformats.org/officeDocument/2006/relationships/worksheet" Target="/xl/worksheets/sheet6.xml" Id="R4c1cce18dc934e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5.149999618530273" hidden="0" customWidth="1"/>
    <x:col min="2" max="2" width="10.430000305175781" hidden="0" customWidth="1"/>
    <x:col min="3" max="3" width="50.91999816894531" hidden="0" customWidth="1"/>
    <x:col min="4" max="4" width="50.91999816894531" hidden="0" customWidth="1"/>
    <x:col min="5" max="5" width="19.020000457763672" hidden="0" customWidth="1"/>
    <x:col min="6" max="6" width="14.109999656677246" hidden="0" customWidth="1"/>
  </x:cols>
  <x:sheetData>
    <x:row r="1">
      <x:c r="A1" s="47" t="str">
        <x:v>Current-State Data Readiness</x:v>
      </x:c>
      <x:c r="B1" s="48" t="str"/>
      <x:c r="C1" s="48" t="str"/>
      <x:c r="D1" s="48" t="str"/>
      <x:c r="E1" s="48" t="str"/>
      <x:c r="F1" s="48" t="str"/>
      <x:c r="G1" s="48"/>
      <x:c r="H1" s="48"/>
      <x:c r="I1" s="48"/>
      <x:c r="J1" s="48"/>
      <x:c r="K1" s="48"/>
      <x:c r="L1" s="48"/>
      <x:c r="M1" s="48"/>
      <x:c r="N1" s="48"/>
      <x:c r="O1" s="48"/>
      <x:c r="P1" s="48"/>
      <x:c r="Q1" s="48"/>
      <x:c r="R1" s="48"/>
      <x:c r="S1" s="48"/>
      <x:c r="T1" s="48"/>
      <x:c r="U1" s="48"/>
      <x:c r="V1" s="48"/>
      <x:c r="W1" s="48"/>
      <x:c r="X1" s="48"/>
      <x:c r="Y1" s="48"/>
      <x:c r="Z1" s="48"/>
    </x:row>
    <x:row r="2">
      <x:c r="A2" s="3" t="str">
        <x:v>Service-level master table - client-provided facts and observations separated from consultant recommendations.</x:v>
      </x:c>
      <x:c r="B2" t="str"/>
      <x:c r="C2" t="str"/>
      <x:c r="D2" t="str"/>
      <x:c r="E2" t="str"/>
      <x:c r="F2" t="str"/>
    </x:row>
    <x:row r="4" ht="33" customHeight="1">
      <x:c r="A4" s="37" t="str">
        <x:v>Readiness</x:v>
      </x:c>
      <x:c r="B4" s="38" t="str">
        <x:v>Count</x:v>
      </x:c>
      <x:c r="C4" s="38" t="str">
        <x:v>Interpretation</x:v>
      </x:c>
      <x:c r="D4" s="38" t="str">
        <x:v>Suggested next step</x:v>
      </x:c>
      <x:c r="E4" s="38" t="str">
        <x:v>Dashboard risk</x:v>
      </x:c>
      <x:c r="F4" s="39" t="str">
        <x:v>Priority</x:v>
      </x:c>
    </x:row>
    <x:row r="5" ht="90" customHeight="1">
      <x:c r="A5" s="40" t="str">
        <x:v>Medium</x:v>
      </x:c>
      <x:c r="B5" s="29" t="n">
        <x:f>COUNTIF('Master Current State'!L:L,"Medium")</x:f>
        <x:v>2</x:v>
      </x:c>
      <x:c r="C5" s="29" t="str">
        <x:v>Formal KPI evidence or detailed current-practice response exists, but monthly feed, field mapping, ownership, or dashboard target logic still needs confirmation.</x:v>
      </x:c>
      <x:c r="D5" s="29" t="str">
        <x:v>Use as early prototype candidates only after target logic and data mapping are confirmed.</x:v>
      </x:c>
      <x:c r="E5" s="29" t="str">
        <x:v>Moderate</x:v>
      </x:c>
      <x:c r="F5" s="41" t="str">
        <x:v>High</x:v>
      </x:c>
    </x:row>
    <x:row r="6" ht="90" customHeight="1">
      <x:c r="A6" s="42" t="str">
        <x:v>Medium-Low</x:v>
      </x:c>
      <x:c r="B6" s="32" t="n">
        <x:f>COUNTIF('Master Current State'!L:L,"Medium-Low")</x:f>
        <x:v>1</x:v>
      </x:c>
      <x:c r="C6" s="32" t="str">
        <x:v>KPI set and targets are partly known, but definitions, numerator / denominator, field mapping, or reporting cadence split still require follow-up.</x:v>
      </x:c>
      <x:c r="D6" s="32" t="str">
        <x:v>Clarify definitions and templates before building reusable dashboard schema.</x:v>
      </x:c>
      <x:c r="E6" s="32" t="str">
        <x:v>High</x:v>
      </x:c>
      <x:c r="F6" s="43" t="str">
        <x:v>High</x:v>
      </x:c>
    </x:row>
    <x:row r="7" ht="90" customHeight="1">
      <x:c r="A7" s="42" t="str">
        <x:v>Low</x:v>
      </x:c>
      <x:c r="B7" s="32" t="n">
        <x:f>COUNTIF('Master Current State'!L:L,"Low")</x:f>
        <x:v>4</x:v>
      </x:c>
      <x:c r="C7" s="32" t="str">
        <x:v>Background-level or incomplete evidence only; no confirmed dashboard-ready dataset, target definitions, or stable data capture process.</x:v>
      </x:c>
      <x:c r="D7" s="32" t="str">
        <x:v>Run discovery and evidence collection before dashboard design.</x:v>
      </x:c>
      <x:c r="E7" s="32" t="str">
        <x:v>Very high</x:v>
      </x:c>
      <x:c r="F7" s="43" t="str">
        <x:v>High</x:v>
      </x:c>
    </x:row>
    <x:row r="8" ht="90" customHeight="1">
      <x:c r="A8" s="42" t="str">
        <x:v>N/A</x:v>
      </x:c>
      <x:c r="B8" s="32" t="n">
        <x:f>COUNTIF('Master Current State'!L:L,"N/A")</x:f>
        <x:v>1</x:v>
      </x:c>
      <x:c r="C8" s="32" t="str">
        <x:v>Not a service sector; used for internal team, data owner, or supporting source.</x:v>
      </x:c>
      <x:c r="D8" s="32" t="str">
        <x:v>Clarify ownership and data handoff responsibilities.</x:v>
      </x:c>
      <x:c r="E8" s="32" t="str">
        <x:v>Scope risk</x:v>
      </x:c>
      <x:c r="F8" s="43" t="str">
        <x:v>Medium</x:v>
      </x:c>
    </x:row>
    <x:row r="9" ht="90" customHeight="1">
      <x:c r="A9" s="42" t="str">
        <x:v>Unknown / Scope confirmation required</x:v>
      </x:c>
      <x:c r="B9" s="32" t="n">
        <x:f>COUNTIF('Master Current State'!L:L,"Unknown / Scope confirmation required")</x:f>
        <x:v>2</x:v>
      </x:c>
      <x:c r="C9" s="32" t="str">
        <x:v>Mentioned in project brief or stakeholder context but not yet confirmed through current-state evidence.</x:v>
      </x:c>
      <x:c r="D9" s="32" t="str">
        <x:v>Confirm whether the service belongs in Ann-Marie's dashboard scope.</x:v>
      </x:c>
      <x:c r="E9" s="32" t="str">
        <x:v>Scope unknown</x:v>
      </x:c>
      <x:c r="F9" s="43" t="str">
        <x:v>High</x:v>
      </x:c>
    </x:row>
    <x:row r="10" ht="90" customHeight="1">
      <x:c r="A10" s="44" t="str">
        <x:v>Total rows</x:v>
      </x:c>
      <x:c r="B10" s="45" t="n">
        <x:f>COUNTA('Master Current State'!B:B)-1</x:f>
        <x:v>10</x:v>
      </x:c>
      <x:c r="C10" s="45" t="str">
        <x:v>Total master table entries.</x:v>
      </x:c>
      <x:c r="D10" s="45" t="str">
        <x:v>Should equal 10 after scope-confirmation rows are included.</x:v>
      </x:c>
      <x:c r="E10" s="45" t="str"/>
      <x:c r="F10" s="46" t="str"/>
    </x:row>
  </x:sheetData>
  <x:conditionalFormatting sqref="A5:A10">
    <x:cfRule type="containsText" dxfId="0" priority="1" operator="containsText" text="Medium"/>
  </x:conditionalFormatting>
  <x:conditionalFormatting sqref="A6:A10">
    <x:cfRule type="containsText" dxfId="1" priority="2" operator="containsText" text="Low"/>
  </x:conditionalFormatting>
  <x:conditionalFormatting sqref="A9:A10">
    <x:cfRule type="containsText" dxfId="2" priority="3" operator="containsText" text="Unknown"/>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0.25" hidden="0" customWidth="1"/>
    <x:col min="2" max="2" width="27.610000610351562" hidden="0" customWidth="1"/>
    <x:col min="3" max="3" width="30.059999465942383" hidden="0" customWidth="1"/>
    <x:col min="4" max="4" width="43.560001373291016" hidden="0" customWidth="1"/>
    <x:col min="5" max="5" width="28.829999923706055" hidden="0" customWidth="1"/>
    <x:col min="6" max="6" width="31.290000915527344" hidden="0" customWidth="1"/>
    <x:col min="7" max="7" width="25.149999618530273" hidden="0" customWidth="1"/>
    <x:col min="8" max="8" width="25.149999618530273" hidden="0" customWidth="1"/>
    <x:col min="9" max="9" width="22.700000762939453" hidden="0" customWidth="1"/>
    <x:col min="10" max="10" width="52.150001525878906" hidden="0" customWidth="1"/>
    <x:col min="11" max="11" width="30.059999465942383" hidden="0" customWidth="1"/>
    <x:col min="12" max="12" width="15.34000015258789" hidden="0" customWidth="1"/>
    <x:col min="13" max="13" width="50.91999816894531" hidden="0" customWidth="1"/>
  </x:cols>
  <x:sheetData>
    <x:row r="1" ht="33" customHeight="1">
      <x:c r="A1" s="49" t="str">
        <x:v>Entity type</x:v>
      </x:c>
      <x:c r="B1" s="50" t="str">
        <x:v>Service sector / owner</x:v>
      </x:c>
      <x:c r="C1" s="50" t="str">
        <x:v>Funder / contract</x:v>
      </x:c>
      <x:c r="D1" s="50" t="str">
        <x:v>KPIs currently identified</x:v>
      </x:c>
      <x:c r="E1" s="50" t="str">
        <x:v>Target status</x:v>
      </x:c>
      <x:c r="F1" s="50" t="str">
        <x:v>Data source</x:v>
      </x:c>
      <x:c r="G1" s="50" t="str">
        <x:v>Systems</x:v>
      </x:c>
      <x:c r="H1" s="50" t="str">
        <x:v>Reporting frequency</x:v>
      </x:c>
      <x:c r="I1" s="50" t="str">
        <x:v>Service manager</x:v>
      </x:c>
      <x:c r="J1" s="50" t="str">
        <x:v>Current issues</x:v>
      </x:c>
      <x:c r="K1" s="50" t="str">
        <x:v>Evidence type</x:v>
      </x:c>
      <x:c r="L1" s="50" t="str">
        <x:v>Data readiness</x:v>
      </x:c>
      <x:c r="M1" s="51" t="str">
        <x:v>Follow-up still needed</x:v>
      </x:c>
      <x:c r="N1" s="48"/>
      <x:c r="O1" s="48"/>
      <x:c r="P1" s="48"/>
      <x:c r="Q1" s="48"/>
      <x:c r="R1" s="48"/>
      <x:c r="S1" s="48"/>
      <x:c r="T1" s="48"/>
      <x:c r="U1" s="48"/>
      <x:c r="V1" s="48"/>
      <x:c r="W1" s="48"/>
      <x:c r="X1" s="48"/>
      <x:c r="Y1" s="48"/>
      <x:c r="Z1" s="48"/>
    </x:row>
    <x:row r="2" ht="90" customHeight="1">
      <x:c r="A2" s="40" t="str">
        <x:v>Internal team / data owner</x:v>
      </x:c>
      <x:c r="B2" s="29" t="str">
        <x:v>Property team</x:v>
      </x:c>
      <x:c r="C2" s="29" t="str">
        <x:v>N/A</x:v>
      </x:c>
      <x:c r="D2" s="29" t="str">
        <x:v>Property / tenancy operational KPIs supporting Community / Social Housing, including Housing First and Youth Housing</x:v>
      </x:c>
      <x:c r="E2" s="29" t="str">
        <x:v>Targets generally aligned to contract requirements and internal performance expectations</x:v>
      </x:c>
      <x:c r="F2" s="29" t="str">
        <x:v>Property Management Systems, finance systems, manually maintained Excel trackers; ARL CHRA/MHUD annual template attached in email chain</x:v>
      </x:c>
      <x:c r="G2" s="29" t="str">
        <x:v>Property Management Systems; finance systems; Excel trackers</x:v>
      </x:c>
      <x:c r="H2" s="29" t="str">
        <x:v>Monthly review, sometimes weekly; CHRA/MHUD annual reporting</x:v>
      </x:c>
      <x:c r="I2" s="29" t="str">
        <x:v>Property team / Michael Chapman response; final ownership chain still unclear</x:v>
      </x:c>
      <x:c r="J2" s="29" t="str">
        <x:v>Property team is a data owner / operational source, not a standalone service sector. Community / Social Housing includes Housing First and Youth Housing (per Michael Chapman response).</x:v>
      </x:c>
      <x:c r="K2" s="29" t="str">
        <x:v>Manager email response + formal ARL CHRA/MHUD attachment</x:v>
      </x:c>
      <x:c r="L2" s="29" t="str">
        <x:v>N/A</x:v>
      </x:c>
      <x:c r="M2" s="41" t="str">
        <x:v>Confirm ownership chain between Property team, ARL, APT, Housing First, Youth Housing, Sustaining Tenancies
Confirm who inputs, who reviews, who submits</x:v>
      </x:c>
    </x:row>
    <x:row r="3" ht="90" customHeight="1">
      <x:c r="A3" s="42" t="str">
        <x:v>Service sector / formal reporting dataset</x:v>
      </x:c>
      <x:c r="B3" s="32" t="str">
        <x:v>Community / Social Housing - ARL</x:v>
      </x:c>
      <x:c r="C3" s="32" t="str">
        <x:v>CHRA regulatory reporting; MHUD / IRRS contractual reporting</x:v>
      </x:c>
      <x:c r="D3" s="32" t="str">
        <x:v>Rent arrears; tenancy exits; vacancy turnaround; occupancy; complaints; repair timeframes; tenant satisfaction</x:v>
      </x:c>
      <x:c r="E3" s="32" t="str">
        <x:v>Most targets not yet confirmed; Excel includes measure / timeframe, but not dashboard RAG targets</x:v>
      </x:c>
      <x:c r="F3" s="32" t="str">
        <x:v>ARL CHRA/MHUD annual Excel template</x:v>
      </x:c>
      <x:c r="G3" s="32" t="str">
        <x:v>ARL CHRA/MHUD annual Excel template; property management systems; finance systems; Excel trackers</x:v>
      </x:c>
      <x:c r="H3" s="32" t="str">
        <x:v>Annual external reporting; monthly/weekly operational review mentioned in property response; monthly dashboard feed TBD</x:v>
      </x:c>
      <x:c r="I3" s="32" t="str">
        <x:v>Property team / Michael Chapman response; formal reporting owner TBD</x:v>
      </x:c>
      <x:c r="J3" s="32" t="str">
        <x:v>ARL CHRA workbook contains multiple tenancy-exit-related figures: KPM2 tenancy exits = 107, KPM2 tenancy terminations = 37, KPM4 tenancy exits = 94. The relationship and definition of these figures has not been confirmed with the reporting owner. Dashboard mapping requires definition clarification before reuse.
Urgent / non-urgent repairs not separately maintained; all classified as non-urgent with 70% within-14-days assumption (per ARL workbook commentary).
Tenant satisfaction questions are approximate mappings, not exact KPM 7.4-7.7 alignment (per ARL workbook commentary).
ARL workbook is formal annual template; monthly dashboard feed has not been proven.</x:v>
      </x:c>
      <x:c r="K3" s="32" t="str">
        <x:v>Formal CHRA / MHUD annual reporting template + manager email response</x:v>
      </x:c>
      <x:c r="L3" s="32" t="str">
        <x:v>Medium</x:v>
      </x:c>
      <x:c r="M3" s="43" t="str">
        <x:v>Confirm relationship between Property team, ARL, APT, Housing First, Youth Housing, Sustaining Tenancies
Confirm which KPMs are in dashboard scope
Confirm tenancy-exit definitions across KPM2 and KPM4
Confirm RAG targets
Confirm whether monthly dashboard-ready feed exists</x:v>
      </x:c>
    </x:row>
    <x:row r="4" ht="90" customHeight="1">
      <x:c r="A4" s="42" t="str">
        <x:v>Service sector</x:v>
      </x:c>
      <x:c r="B4" s="32" t="str">
        <x:v>Housing First</x:v>
      </x:c>
      <x:c r="C4" s="32" t="str">
        <x:v>Possible funders include MSD / MHUD / Oranga Tamariki / Kāinga Ora, but sector-specific contract allocation is not yet confirmed.</x:v>
      </x:c>
      <x:c r="D4" s="32" t="str">
        <x:v>Clients placed into permanent housing; 6/12-month retention; health &amp; wellbeing outcomes; reduction in homelessness episodes</x:v>
      </x:c>
      <x:c r="E4" s="32" t="str">
        <x:v>Not confirmed</x:v>
      </x:c>
      <x:c r="F4" s="32" t="str">
        <x:v>Internal case management systems + programme spreadsheets (per email attachment)</x:v>
      </x:c>
      <x:c r="G4" s="32" t="str">
        <x:v>Record Base; Palace; Microsoft Excel; specialised client management platforms (per email attachment)</x:v>
      </x:c>
      <x:c r="H4" s="32" t="str">
        <x:v>Weekly or monthly depending reporting requirements (typical, not confirmed for actual reporting)</x:v>
      </x:c>
      <x:c r="I4" s="32" t="str">
        <x:v>Reported as 1 per sector (typical), named manager not yet confirmed.</x:v>
      </x:c>
      <x:c r="J4" s="32" t="str">
        <x:v>Current evidence is background-level only. Actual monthly reporting workflow, final KPI definitions, targets, source fields, and named service manager have not been confirmed.</x:v>
      </x:c>
      <x:c r="K4" s="32" t="str">
        <x:v>Background fact sheet / questionnaire-style response, not raw KPI data</x:v>
      </x:c>
      <x:c r="L4" s="32" t="str">
        <x:v>Low</x:v>
      </x:c>
      <x:c r="M4" s="43" t="str">
        <x:v>Confirm actual funder / contract owner per service
Confirm actual KPIs and targets
Confirm source system and fields
Confirm reporting frequency
Confirm whether service managers maintain separate spreadsheets
Confirm relationship with Property team and ARL/APT reporting
Confirm named service manager</x:v>
      </x:c>
    </x:row>
    <x:row r="5" ht="90" customHeight="1">
      <x:c r="A5" s="42" t="str">
        <x:v>Service sector</x:v>
      </x:c>
      <x:c r="B5" s="32" t="str">
        <x:v>Youth Housing</x:v>
      </x:c>
      <x:c r="C5" s="32" t="str">
        <x:v>Possible funders include MSD / MHUD / Oranga Tamariki / Kāinga Ora, but sector-specific contract allocation is not yet confirmed.</x:v>
      </x:c>
      <x:c r="D5" s="32" t="str">
        <x:v>Number of young people housed; tenancy sustainment rate; engagement in education/employment; support interactions frequency</x:v>
      </x:c>
      <x:c r="E5" s="32" t="str">
        <x:v>Not confirmed</x:v>
      </x:c>
      <x:c r="F5" s="32" t="str">
        <x:v>Internal case management systems + programme spreadsheets (per email attachment)</x:v>
      </x:c>
      <x:c r="G5" s="32" t="str">
        <x:v>Record Base; Palace; Microsoft Excel; specialised client management platforms (per email attachment)</x:v>
      </x:c>
      <x:c r="H5" s="32" t="str">
        <x:v>Weekly or monthly depending reporting requirements (typical, not confirmed for actual reporting)</x:v>
      </x:c>
      <x:c r="I5" s="32" t="str">
        <x:v>Reported as 1 per sector (typical), named manager not yet confirmed.</x:v>
      </x:c>
      <x:c r="J5" s="32" t="str">
        <x:v>Current evidence is background-level only. Actual monthly reporting workflow, final KPI definitions, targets, source fields, and named service manager have not been confirmed.</x:v>
      </x:c>
      <x:c r="K5" s="32" t="str">
        <x:v>Background fact sheet / questionnaire-style response, not raw KPI data</x:v>
      </x:c>
      <x:c r="L5" s="32" t="str">
        <x:v>Low</x:v>
      </x:c>
      <x:c r="M5" s="43" t="str">
        <x:v>Confirm actual funder / contract owner per service
Confirm actual KPIs and targets
Confirm source system and fields
Confirm reporting frequency
Confirm whether service managers maintain separate spreadsheets
Confirm relationship with Property team and ARL/APT reporting
Confirm named service manager</x:v>
      </x:c>
    </x:row>
    <x:row r="6" ht="90" customHeight="1">
      <x:c r="A6" s="42" t="str">
        <x:v>Service sector</x:v>
      </x:c>
      <x:c r="B6" s="32" t="str">
        <x:v>Sustaining Tenancies</x:v>
      </x:c>
      <x:c r="C6" s="32" t="str">
        <x:v>Possible funders include MSD / MHUD / Oranga Tamariki / Kāinga Ora, but sector-specific contract allocation is not yet confirmed.</x:v>
      </x:c>
      <x:c r="D6" s="32" t="str">
        <x:v>Tenancies maintained over 12 months; reduction in evictions; ongoing support; self-sufficiency / wellbeing outcomes</x:v>
      </x:c>
      <x:c r="E6" s="32" t="str">
        <x:v>Not confirmed</x:v>
      </x:c>
      <x:c r="F6" s="32" t="str">
        <x:v>Internal case management systems + programme spreadsheets (per email attachment)</x:v>
      </x:c>
      <x:c r="G6" s="32" t="str">
        <x:v>Record Base; Palace; Microsoft Excel; specialised client management platforms (per email attachment)</x:v>
      </x:c>
      <x:c r="H6" s="32" t="str">
        <x:v>Weekly or monthly depending reporting requirements (typical, not confirmed for actual reporting)</x:v>
      </x:c>
      <x:c r="I6" s="32" t="str">
        <x:v>Reported as 1 per sector (typical), named manager not yet confirmed.</x:v>
      </x:c>
      <x:c r="J6" s="32" t="str">
        <x:v>Current evidence is background-level only. Actual monthly reporting workflow, final KPI definitions, targets, source fields, and named service manager have not been confirmed.</x:v>
      </x:c>
      <x:c r="K6" s="32" t="str">
        <x:v>Background fact sheet / questionnaire-style response, not raw KPI data</x:v>
      </x:c>
      <x:c r="L6" s="32" t="str">
        <x:v>Low</x:v>
      </x:c>
      <x:c r="M6" s="43" t="str">
        <x:v>Confirm actual funder / contract owner per service
Confirm actual KPIs and targets
Confirm source system and fields
Confirm reporting frequency
Confirm whether service managers maintain separate spreadsheets
Confirm relationship with Property team and ARL/APT reporting
Confirm named service manager</x:v>
      </x:c>
    </x:row>
    <x:row r="7" ht="90" customHeight="1">
      <x:c r="A7" s="42" t="str">
        <x:v>Service sector</x:v>
      </x:c>
      <x:c r="B7" s="32" t="str">
        <x:v>Merge Café</x:v>
      </x:c>
      <x:c r="C7" s="32" t="str">
        <x:v>MHUD; Auckland Council</x:v>
      </x:c>
      <x:c r="D7" s="32" t="str">
        <x:v>Immediate needs met 85%; continued engagement 85%; connected to community services 50%. Same KPI set is reported to MHUD monthly and Auckland Council annually.</x:v>
      </x:c>
      <x:c r="E7" s="32" t="str">
        <x:v>Targets known. KPI numerator / denominator definitions, Recordbase field mapping, and Excel tracking sheet structure not yet confirmed.</x:v>
      </x:c>
      <x:c r="F7" s="32" t="str">
        <x:v>Recordbase primary source; Excel KPI tracking; Microsoft Forms for H&amp;S; Lightspeed for cafe operations</x:v>
      </x:c>
      <x:c r="G7" s="32" t="str">
        <x:v>Recordbase; Excel; Microsoft Forms; Lightspeed</x:v>
      </x:c>
      <x:c r="H7" s="32" t="str">
        <x:v>Monthly for MHUD; annual for Auckland Council</x:v>
      </x:c>
      <x:c r="I7" s="32" t="str">
        <x:v>Paula Bold Wilson, Service Manager Merge</x:v>
      </x:c>
      <x:c r="J7" s="32" t="str">
        <x:v>MHUD template not aligned with Recordbase.
Manual collation across multiple reports.
Ambiguity in KPI definitions.
Inconsistent data entry across team.
Loss of institutional knowledge.
Recent system changes and retraining required.
Excel KPI sheet is linked to funding release and shared with finance business partner.</x:v>
      </x:c>
      <x:c r="K7" s="32" t="str">
        <x:v>Service manager email response</x:v>
      </x:c>
      <x:c r="L7" s="32" t="str">
        <x:v>Medium-Low</x:v>
      </x:c>
      <x:c r="M7" s="43" t="str">
        <x:v>Confirm precise numerator / denominator for each of the three KPIs
Confirm Recordbase fields mapped to each KPI
Review Excel KPI tracking sheet structure
Confirm MHUD reporting template
Confirm Auckland Council reporting template
Confirm whether MHUD monthly and Auckland Council annual reporting need separate dashboard modelling</x:v>
      </x:c>
    </x:row>
    <x:row r="8" ht="90" customHeight="1">
      <x:c r="A8" s="42" t="str">
        <x:v>Service sector</x:v>
      </x:c>
      <x:c r="B8" s="32" t="str">
        <x:v>Whānau Services</x:v>
      </x:c>
      <x:c r="C8" s="32" t="str">
        <x:v>OT / Mana Whānau; MSD - Whānau Resilience; MoJ - Parenting through Separation</x:v>
      </x:c>
      <x:c r="D8" s="32" t="str">
        <x:v>OT / Mana Whānau and MSD - Whānau Resilience: families receiving intervention, starts per month, FTE, declined referrals, waitlist, incomplete/completed intervention, completed intervention with needs met, children remaining in the home. MoJ: participants, courses delivered, participants contacted 4 weeks post course, course feedback, participants successfully contacted.</x:v>
      </x:c>
      <x:c r="E8" s="32" t="str">
        <x:v>Specific KPI list provided, but targets and standardisation not yet confirmed</x:v>
      </x:c>
      <x:c r="F8" s="32" t="str">
        <x:v>Recordbase and manual capture</x:v>
      </x:c>
      <x:c r="G8" s="32" t="str">
        <x:v>Recordbase; manual tracking</x:v>
      </x:c>
      <x:c r="H8" s="32" t="str">
        <x:v>TBD (not specified in response)</x:v>
      </x:c>
      <x:c r="I8" s="32" t="str">
        <x:v>Sher Gestro responded via Maraea Mokaraka; number of service managers and named service manager(s) not yet confirmed.</x:v>
      </x:c>
      <x:c r="J8" s="32" t="str">
        <x:v>Substantial data capture gaps (per client response). Requested future data fields (whānau history in state care, family harm, trauma, mental health, neurodiversity, incarceration, school attendance, addiction history, health outcomes, exit reporting) appear to be future desired captures rather than confirmed current captured KPIs.</x:v>
      </x:c>
      <x:c r="K8" s="32" t="str">
        <x:v>Service response / questionnaire response</x:v>
      </x:c>
      <x:c r="L8" s="32" t="str">
        <x:v>Low</x:v>
      </x:c>
      <x:c r="M8" s="43" t="str">
        <x:v>Confirm number of Service Managers
Confirm named service manager(s)
Confirm actual data format and reporting frequency
Confirm whether self-built sheets exist
Separate confirmed current contract KPIs from future desired data fields
Confirm whether OT / Mana Whānau, MSD - Whānau Resilience, and MoJ - Parenting through Separation should be modelled as separate reporting units</x:v>
      </x:c>
    </x:row>
    <x:row r="9" ht="90" customHeight="1">
      <x:c r="A9" s="42" t="str">
        <x:v>Service sector</x:v>
      </x:c>
      <x:c r="B9" s="32" t="str">
        <x:v>ECE - Waimumu Road Preschool &amp; Royal Road Preschool</x:v>
      </x:c>
      <x:c r="C9" s="32" t="str">
        <x:v>Ministry of Education</x:v>
      </x:c>
      <x:c r="D9" s="32" t="str">
        <x:v>Occupancy/utilisation; funded child hours; staffing qualification mix; training compliance; incident timeliness; complaints timeliness; audit completion; corrective action closure; regulatory self-audit; priority whānau engagement</x:v>
      </x:c>
      <x:c r="E9" s="32" t="str">
        <x:v>Targets mostly stated: occupancy ~90%; funded child hours meet/exceed budget; qualified teachers ~80%; training &gt;=95%; incident reporting within 24h 100%; complaints acknowledged within policy timeframe 100%; internal audit 100% on schedule; CAPA &gt;=90%; regulatory checks 100%; priority whānau engagement 80-100%</x:v>
      </x:c>
      <x:c r="F9" s="32" t="str">
        <x:v>Infocare enrolment/attendance/funding exports; finance reporting; LMS / HR Bamboo; incident, complaints, audit, QI/CAPA registers; evidence folders; Teams/SharePoint</x:v>
      </x:c>
      <x:c r="G9" s="32" t="str">
        <x:v>Infocare; Excel KPI tracker / draft dashboard dataset; Finance reporting; HR Bamboo; Teams / SharePoint; registers and evidence folders</x:v>
      </x:c>
      <x:c r="H9" s="32" t="str">
        <x:v>Mostly monthly; training quarterly; routine regulatory checks monthly + annual review cycle</x:v>
      </x:c>
      <x:c r="I9" s="32" t="str">
        <x:v>1 ECE Service Manager covers Waimumu Road Preschool and Royal Road Preschool; Centre Managers own some source records</x:v>
      </x:c>
      <x:c r="J9" s="32" t="str">
        <x:v>Multiple templates / multiple versions of truth.
Infocare exports often manually copied into trackers / dashboards / board reports.
Some KPI definitions stable; whānau engagement more qualitative.
Still need actual tracker sample.
Still need split between contract / licensing obligations and internal management KPIs.
Parent fees / contributions are an additional revenue stream, not currently treated as dashboard contract KPI reporting unless financial reporting is later included.</x:v>
      </x:c>
      <x:c r="K9" s="32" t="str">
        <x:v>ECE quality plan / current-practice response, not raw monthly KPI dataset</x:v>
      </x:c>
      <x:c r="L9" s="32" t="str">
        <x:v>Medium</x:v>
      </x:c>
      <x:c r="M9" s="43" t="str">
        <x:v>Confirm which KPIs are Ministry / licensing / funder obligation vs internal management
Confirm whether two centres are recorded separately or combined
Obtain actual Excel KPI tracker / draft dashboard dataset structure
Confirm monthly history completeness
Confirm final KPI definition owner</x:v>
      </x:c>
    </x:row>
    <x:row r="10" ht="90" customHeight="1">
      <x:c r="A10" s="42" t="str">
        <x:v>Potential service sector</x:v>
      </x:c>
      <x:c r="B10" s="32" t="str">
        <x:v>Addiction counselling</x:v>
      </x:c>
      <x:c r="C10" s="32" t="str">
        <x:v>TBD</x:v>
      </x:c>
      <x:c r="D10" s="32" t="str">
        <x:v>The project brief lists 'addiction counselling' as one of Lifewise's service areas. The brief also lists 'counsellor contact volumes' as an example tracked metric, but does not explicitly link this metric to addiction counselling. No service-specific response or KPI template has been received.</x:v>
      </x:c>
      <x:c r="E10" s="32" t="str">
        <x:v>TBD</x:v>
      </x:c>
      <x:c r="F10" s="32" t="str">
        <x:v>TBD</x:v>
      </x:c>
      <x:c r="G10" s="32" t="str">
        <x:v>TBD</x:v>
      </x:c>
      <x:c r="H10" s="32" t="str">
        <x:v>TBD</x:v>
      </x:c>
      <x:c r="I10" s="32" t="str">
        <x:v>TBD</x:v>
      </x:c>
      <x:c r="J10" s="32" t="str">
        <x:v>Mentioned in project brief but not yet evidenced in collected current-state materials.</x:v>
      </x:c>
      <x:c r="K10" s="32" t="str">
        <x:v>Project brief only</x:v>
      </x:c>
      <x:c r="L10" s="32" t="str">
        <x:v>Unknown / Scope confirmation required</x:v>
      </x:c>
      <x:c r="M10" s="43" t="str">
        <x:v>Confirm whether addiction counselling is in Ann-Marie's dashboard scope
Confirm who owns reporting
Confirm what KPIs are tracked
Confirm whether an existing data source or template exists</x:v>
      </x:c>
    </x:row>
    <x:row r="11" ht="90" customHeight="1">
      <x:c r="A11" s="44" t="str">
        <x:v>Potential service / social enterprise</x:v>
      </x:c>
      <x:c r="B11" s="45" t="str">
        <x:v>Social enterprise</x:v>
      </x:c>
      <x:c r="C11" s="45" t="str">
        <x:v>TBD</x:v>
      </x:c>
      <x:c r="D11" s="45" t="str">
        <x:v>The project brief mentions 'social enterprise' as one of Lifewise's service areas. No service-specific response or KPI template referencing social enterprise has been received. The relationship between Merge Café and social enterprise classification has not been confirmed.</x:v>
      </x:c>
      <x:c r="E11" s="45" t="str">
        <x:v>TBD</x:v>
      </x:c>
      <x:c r="F11" s="45" t="str">
        <x:v>TBD</x:v>
      </x:c>
      <x:c r="G11" s="45" t="str">
        <x:v>TBD</x:v>
      </x:c>
      <x:c r="H11" s="45" t="str">
        <x:v>TBD</x:v>
      </x:c>
      <x:c r="I11" s="45" t="str">
        <x:v>TBD</x:v>
      </x:c>
      <x:c r="J11" s="45" t="str">
        <x:v>Project brief mentions social enterprise as a service area, but current-state materials do not include a service-specific response under this label.</x:v>
      </x:c>
      <x:c r="K11" s="45" t="str">
        <x:v>Project brief only</x:v>
      </x:c>
      <x:c r="L11" s="45" t="str">
        <x:v>Unknown / Scope confirmation required</x:v>
      </x:c>
      <x:c r="M11" s="46" t="str">
        <x:v>Confirm whether Merge Café is the only social enterprise service in dashboard scope
Confirm whether additional social enterprise services should be added</x:v>
      </x:c>
    </x:row>
  </x:sheetData>
  <x:conditionalFormatting sqref="L2:L11">
    <x:cfRule type="containsText" dxfId="3" priority="1" operator="containsText" text="Medium"/>
    <x:cfRule type="containsText" dxfId="4" priority="2" operator="containsText" text="Medium-Low"/>
    <x:cfRule type="containsText" dxfId="5" priority="3" operator="containsText" text="Low"/>
    <x:cfRule type="containsText" dxfId="6" priority="4" operator="containsText" text="N/A"/>
    <x:cfRule type="containsText" dxfId="7" priority="5" operator="containsText" text="Unknown"/>
  </x:conditionalFormatting>
  <x:dataValidations count="1">
    <x:dataValidation type="list" allowBlank="0" showDropDown="0" sqref="L2:L11">
      <x:formula1>"High,Medium,Medium-Low,Low,N/A,Unknown / Scope confirmation required"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6.3799991607666" hidden="0" customWidth="1"/>
    <x:col min="2" max="2" width="68.0999984741211" hidden="0" customWidth="1"/>
    <x:col min="3" max="3" width="43.560001373291016" hidden="0" customWidth="1"/>
    <x:col min="4" max="4" width="43.560001373291016" hidden="0" customWidth="1"/>
  </x:cols>
  <x:sheetData>
    <x:row r="1">
      <x:c r="A1" s="47" t="str">
        <x:v>Data Readiness Standard</x:v>
      </x:c>
      <x:c r="B1" s="48" t="str"/>
      <x:c r="C1" s="48" t="str"/>
      <x:c r="D1" s="48" t="str"/>
      <x:c r="E1" s="48"/>
      <x:c r="F1" s="48"/>
      <x:c r="G1" s="48"/>
      <x:c r="H1" s="48"/>
      <x:c r="I1" s="48"/>
      <x:c r="J1" s="48"/>
      <x:c r="K1" s="48"/>
      <x:c r="L1" s="48"/>
      <x:c r="M1" s="48"/>
      <x:c r="N1" s="48"/>
      <x:c r="O1" s="48"/>
      <x:c r="P1" s="48"/>
      <x:c r="Q1" s="48"/>
      <x:c r="R1" s="48"/>
      <x:c r="S1" s="48"/>
      <x:c r="T1" s="48"/>
      <x:c r="U1" s="48"/>
      <x:c r="V1" s="48"/>
      <x:c r="W1" s="48"/>
      <x:c r="X1" s="48"/>
      <x:c r="Y1" s="48"/>
      <x:c r="Z1" s="48"/>
    </x:row>
    <x:row r="2">
      <x:c r="A2" s="3" t="str">
        <x:v>Use this standard consistently before deciding dashboard scope.</x:v>
      </x:c>
      <x:c r="B2" t="str"/>
      <x:c r="C2" t="str"/>
      <x:c r="D2" t="str"/>
    </x:row>
    <x:row r="4" ht="33" customHeight="1">
      <x:c r="A4" s="37" t="str">
        <x:v>Level</x:v>
      </x:c>
      <x:c r="B4" s="38" t="str">
        <x:v>Judgement standard</x:v>
      </x:c>
      <x:c r="C4" s="38" t="str">
        <x:v>Dashboard implication</x:v>
      </x:c>
      <x:c r="D4" s="39" t="str">
        <x:v>Current examples</x:v>
      </x:c>
    </x:row>
    <x:row r="5" ht="90" customHeight="1">
      <x:c r="A5" s="40" t="str">
        <x:v>High</x:v>
      </x:c>
      <x:c r="B5" s="29" t="str">
        <x:v>Confirmed recurring KPI dataset; KPI definitions, targets, owner, source system, frequency, and historical data are clear and dashboard-ready.</x:v>
      </x:c>
      <x:c r="C5" s="29" t="str">
        <x:v>Ready for dashboard input design after light validation.</x:v>
      </x:c>
      <x:c r="D5" s="41" t="str">
        <x:v>None confirmed yet.</x:v>
      </x:c>
    </x:row>
    <x:row r="6" ht="90" customHeight="1">
      <x:c r="A6" s="42" t="str">
        <x:v>Medium</x:v>
      </x:c>
      <x:c r="B6" s="32" t="str">
        <x:v>Formal KPI evidence or detailed current-practice response exists, but monthly feed, field mapping, ownership, or dashboard target logic still needs confirmation.</x:v>
      </x:c>
      <x:c r="C6" s="32" t="str">
        <x:v>Candidate for early prototyping only after mapping gaps are confirmed.</x:v>
      </x:c>
      <x:c r="D6" s="43" t="str">
        <x:v>ARL / Community-Social Housing; ECE.</x:v>
      </x:c>
    </x:row>
    <x:row r="7" ht="90" customHeight="1">
      <x:c r="A7" s="42" t="str">
        <x:v>Medium-Low</x:v>
      </x:c>
      <x:c r="B7" s="32" t="str">
        <x:v>KPI set and targets are partly known, but definitions, numerator / denominator, field mapping, or reporting cadence split still require follow-up.</x:v>
      </x:c>
      <x:c r="C7" s="32" t="str">
        <x:v>Do not lock reusable schema until definitions and reporting streams are clarified.</x:v>
      </x:c>
      <x:c r="D7" s="43" t="str">
        <x:v>Merge Café.</x:v>
      </x:c>
    </x:row>
    <x:row r="8" ht="90" customHeight="1">
      <x:c r="A8" s="42" t="str">
        <x:v>Low</x:v>
      </x:c>
      <x:c r="B8" s="32" t="str">
        <x:v>Background-level or incomplete evidence only; no confirmed dashboard-ready dataset, target definitions, or stable data capture process.</x:v>
      </x:c>
      <x:c r="C8" s="32" t="str">
        <x:v>Discovery and evidence gap closure required before dashboard design.</x:v>
      </x:c>
      <x:c r="D8" s="43" t="str">
        <x:v>Housing First; Youth Housing; Sustaining Tenancies; Whānau Services.</x:v>
      </x:c>
    </x:row>
    <x:row r="9" ht="90" customHeight="1">
      <x:c r="A9" s="42" t="str">
        <x:v>N/A</x:v>
      </x:c>
      <x:c r="B9" s="32" t="str">
        <x:v>Not a service sector; used for internal team, data owner, or supporting source.</x:v>
      </x:c>
      <x:c r="C9" s="32" t="str">
        <x:v>Use for ownership mapping, not service KPI maturity.</x:v>
      </x:c>
      <x:c r="D9" s="43" t="str">
        <x:v>Property team.</x:v>
      </x:c>
    </x:row>
    <x:row r="10" ht="90" customHeight="1">
      <x:c r="A10" s="44" t="str">
        <x:v>Unknown / Scope confirmation required</x:v>
      </x:c>
      <x:c r="B10" s="45" t="str">
        <x:v>Mentioned in project brief or stakeholder context but not yet confirmed through current-state evidence.</x:v>
      </x:c>
      <x:c r="C10" s="45" t="str">
        <x:v>Confirm whether this belongs in dashboard scope before collecting KPI detail.</x:v>
      </x:c>
      <x:c r="D10" s="46" t="str">
        <x:v>Addiction counselling; Social enterprise.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5.149999618530273" hidden="0" customWidth="1"/>
    <x:col min="2" max="2" width="60.7400016784668" hidden="0" customWidth="1"/>
    <x:col min="3" max="3" width="52.150001525878906" hidden="0" customWidth="1"/>
    <x:col min="4" max="4" width="30.059999465942383" hidden="0" customWidth="1"/>
    <x:col min="5" max="5" width="11.65999984741211" hidden="0" customWidth="1"/>
  </x:cols>
  <x:sheetData>
    <x:row r="1">
      <x:c r="A1" s="47" t="str">
        <x:v>Follow-up Actions</x:v>
      </x:c>
      <x:c r="B1" s="48" t="str"/>
      <x:c r="C1" s="48" t="str"/>
      <x:c r="D1" s="48" t="str"/>
      <x:c r="E1" s="48" t="str"/>
      <x:c r="F1" s="48"/>
      <x:c r="G1" s="48"/>
      <x:c r="H1" s="48"/>
      <x:c r="I1" s="48"/>
      <x:c r="J1" s="48"/>
      <x:c r="K1" s="48"/>
      <x:c r="L1" s="48"/>
      <x:c r="M1" s="48"/>
      <x:c r="N1" s="48"/>
      <x:c r="O1" s="48"/>
      <x:c r="P1" s="48"/>
      <x:c r="Q1" s="48"/>
      <x:c r="R1" s="48"/>
      <x:c r="S1" s="48"/>
      <x:c r="T1" s="48"/>
      <x:c r="U1" s="48"/>
      <x:c r="V1" s="48"/>
      <x:c r="W1" s="48"/>
      <x:c r="X1" s="48"/>
      <x:c r="Y1" s="48"/>
      <x:c r="Z1" s="48"/>
    </x:row>
    <x:row r="2">
      <x:c r="A2" s="3" t="str">
        <x:v>Questions grouped by the reason they block current-state assessment or dashboard design.</x:v>
      </x:c>
      <x:c r="B2" t="str"/>
      <x:c r="C2" t="str"/>
      <x:c r="D2" t="str"/>
      <x:c r="E2" t="str"/>
    </x:row>
    <x:row r="4" ht="33" customHeight="1">
      <x:c r="A4" s="37" t="str">
        <x:v>Category</x:v>
      </x:c>
      <x:c r="B4" s="38" t="str">
        <x:v>Question / task</x:v>
      </x:c>
      <x:c r="C4" s="38" t="str">
        <x:v>Why it matters</x:v>
      </x:c>
      <x:c r="D4" s="38" t="str">
        <x:v>Suggested owner</x:v>
      </x:c>
      <x:c r="E4" s="39" t="str">
        <x:v>Priority</x:v>
      </x:c>
    </x:row>
    <x:row r="5" ht="90" customHeight="1">
      <x:c r="A5" s="40" t="str">
        <x:v>Structure clarification</x:v>
      </x:c>
      <x:c r="B5" s="29" t="str">
        <x:v>Clarify the relationship between the Property team, ARL, APT, Housing First, Youth Housing, and Sustaining Tenancies.</x:v>
      </x:c>
      <x:c r="C5" s="29" t="str">
        <x:v>Avoid treating a data owner as a separate service sector; property response says Community/Social Housing includes Housing First and Youth Housing.</x:v>
      </x:c>
      <x:c r="D5" s="29" t="str">
        <x:v>Property / housing lead</x:v>
      </x:c>
      <x:c r="E5" s="41" t="str">
        <x:v>High</x:v>
      </x:c>
    </x:row>
    <x:row r="6" ht="90" customHeight="1">
      <x:c r="A6" s="42" t="str">
        <x:v>Structure clarification</x:v>
      </x:c>
      <x:c r="B6" s="32" t="str">
        <x:v>Confirm whether Whānau Services should be treated as one sector or split into three reporting units: OT / Mana Whānau, MSD / Whānau Resilience, and MoJ / Parenting through Separation.</x:v>
      </x:c>
      <x:c r="C6" s="32" t="str">
        <x:v>Funding lines may have different KPIs, evidence, and reporting cycles.</x:v>
      </x:c>
      <x:c r="D6" s="32" t="str">
        <x:v>Whānau Services manager</x:v>
      </x:c>
      <x:c r="E6" s="43" t="str">
        <x:v>High</x:v>
      </x:c>
    </x:row>
    <x:row r="7" ht="90" customHeight="1">
      <x:c r="A7" s="42" t="str">
        <x:v>Structure clarification</x:v>
      </x:c>
      <x:c r="B7" s="32" t="str">
        <x:v>Confirm whether Merge Café should be modelled as separate MHUD monthly and Auckland Council annual reporting streams.</x:v>
      </x:c>
      <x:c r="C7" s="32" t="str">
        <x:v>Same KPIs are reported to both, but cadence/templates differ.</x:v>
      </x:c>
      <x:c r="D7" s="32" t="str">
        <x:v>Paula Bold Wilson</x:v>
      </x:c>
      <x:c r="E7" s="43" t="str">
        <x:v>High</x:v>
      </x:c>
    </x:row>
    <x:row r="8" ht="90" customHeight="1">
      <x:c r="A8" s="42" t="str">
        <x:v>KPI definition clarification</x:v>
      </x:c>
      <x:c r="B8" s="32" t="str">
        <x:v>Confirm how the Merge Café KPIs immediate needs met, continued engagement, and connected to community services are calculated.</x:v>
      </x:c>
      <x:c r="C8" s="32" t="str">
        <x:v>RAG status and data fields depend on exact numerator/denominator definitions.</x:v>
      </x:c>
      <x:c r="D8" s="32" t="str">
        <x:v>Merge Café manager</x:v>
      </x:c>
      <x:c r="E8" s="43" t="str">
        <x:v>High</x:v>
      </x:c>
    </x:row>
    <x:row r="9" ht="90" customHeight="1">
      <x:c r="A9" s="42" t="str">
        <x:v>KPI definition clarification</x:v>
      </x:c>
      <x:c r="B9" s="32" t="str">
        <x:v>Clarify why the ARL workbook contains three tenancy-exit-related figures: 37, 94, and 107.</x:v>
      </x:c>
      <x:c r="C9" s="32" t="str">
        <x:v>Need to distinguish tenancy terminations, KPM2 exits, and KPM4 exits before dashboarding.</x:v>
      </x:c>
      <x:c r="D9" s="32" t="str">
        <x:v>ARL reporting owner</x:v>
      </x:c>
      <x:c r="E9" s="43" t="str">
        <x:v>High</x:v>
      </x:c>
    </x:row>
    <x:row r="10" ht="90" customHeight="1">
      <x:c r="A10" s="42" t="str">
        <x:v>KPI definition clarification</x:v>
      </x:c>
      <x:c r="B10" s="32" t="str">
        <x:v>Confirm which ECE KPIs are contract or licensing obligations and which are internal monitoring KPIs.</x:v>
      </x:c>
      <x:c r="C10" s="32" t="str">
        <x:v>Dashboard should separate obligations from management indicators.</x:v>
      </x:c>
      <x:c r="D10" s="32" t="str">
        <x:v>ECE Service Manager</x:v>
      </x:c>
      <x:c r="E10" s="43" t="str">
        <x:v>Medium</x:v>
      </x:c>
    </x:row>
    <x:row r="11" ht="90" customHeight="1">
      <x:c r="A11" s="42" t="str">
        <x:v>KPI definition clarification</x:v>
      </x:c>
      <x:c r="B11" s="32" t="str">
        <x:v>Confirm which Whānau Services measures are current contract KPIs and which are future desired data fields.</x:v>
      </x:c>
      <x:c r="C11" s="32" t="str">
        <x:v>Prevents future-state wishlist fields from being treated as current-state evidence.</x:v>
      </x:c>
      <x:c r="D11" s="32" t="str">
        <x:v>Whānau Services manager</x:v>
      </x:c>
      <x:c r="E11" s="43" t="str">
        <x:v>High</x:v>
      </x:c>
    </x:row>
    <x:row r="12" ht="90" customHeight="1">
      <x:c r="A12" s="42" t="str">
        <x:v>Data capture clarification</x:v>
      </x:c>
      <x:c r="B12" s="32" t="str">
        <x:v>Confirm whether monthly data already exists.</x:v>
      </x:c>
      <x:c r="C12" s="32" t="str">
        <x:v>Determines if dashboard can be monthly or only annual/ad hoc.</x:v>
      </x:c>
      <x:c r="D12" s="32" t="str">
        <x:v>Each service manager</x:v>
      </x:c>
      <x:c r="E12" s="43" t="str">
        <x:v>High</x:v>
      </x:c>
    </x:row>
    <x:row r="13" ht="90" customHeight="1">
      <x:c r="A13" s="42" t="str">
        <x:v>Data capture clarification</x:v>
      </x:c>
      <x:c r="B13" s="32" t="str">
        <x:v>Confirm where the data is currently stored.</x:v>
      </x:c>
      <x:c r="C13" s="32" t="str">
        <x:v>Identifies whether extraction is from system, Excel, or narrative reports.</x:v>
      </x:c>
      <x:c r="D13" s="32" t="str">
        <x:v>Each service manager</x:v>
      </x:c>
      <x:c r="E13" s="43" t="str">
        <x:v>High</x:v>
      </x:c>
    </x:row>
    <x:row r="14" ht="90" customHeight="1">
      <x:c r="A14" s="42" t="str">
        <x:v>Data capture clarification</x:v>
      </x:c>
      <x:c r="B14" s="32" t="str">
        <x:v>Confirm whether each metric is captured as a system field, Excel sheet, or manual narrative.</x:v>
      </x:c>
      <x:c r="C14" s="32" t="str">
        <x:v>Determines automation potential and data-quality controls.</x:v>
      </x:c>
      <x:c r="D14" s="32" t="str">
        <x:v>Each service manager</x:v>
      </x:c>
      <x:c r="E14" s="43" t="str">
        <x:v>High</x:v>
      </x:c>
    </x:row>
    <x:row r="15" ht="90" customHeight="1">
      <x:c r="A15" s="42" t="str">
        <x:v>Data capture clarification</x:v>
      </x:c>
      <x:c r="B15" s="32" t="str">
        <x:v>Confirm who enters the data, who reviews it, and who is accountable for the final number.</x:v>
      </x:c>
      <x:c r="C15" s="32" t="str">
        <x:v>Ownership is required before sign-off and RAG interpretation.</x:v>
      </x:c>
      <x:c r="D15" s="32" t="str">
        <x:v>Service manager + data owner</x:v>
      </x:c>
      <x:c r="E15" s="43" t="str">
        <x:v>High</x:v>
      </x:c>
    </x:row>
    <x:row r="16" ht="90" customHeight="1">
      <x:c r="A16" s="42" t="str">
        <x:v>Data capture clarification</x:v>
      </x:c>
      <x:c r="B16" s="32" t="str">
        <x:v>Confirm whether historical data can be backfilled.</x:v>
      </x:c>
      <x:c r="C16" s="32" t="str">
        <x:v>Determines trend baseline and launch readiness.</x:v>
      </x:c>
      <x:c r="D16" s="32" t="str">
        <x:v>Service manager + analyst</x:v>
      </x:c>
      <x:c r="E16" s="43" t="str">
        <x:v>Medium</x:v>
      </x:c>
    </x:row>
    <x:row r="17" ht="90" customHeight="1">
      <x:c r="A17" s="42" t="str">
        <x:v>Evidence request</x:v>
      </x:c>
      <x:c r="B17" s="32" t="str">
        <x:v>Request a formal KPI report, contract schedule, or real monthly sheet for Housing First, Youth Housing, and Sustaining Tenancies.</x:v>
      </x:c>
      <x:c r="C17" s="32" t="str">
        <x:v>Email attachment provides useful manager-level evidence but not raw recurring KPI data.</x:v>
      </x:c>
      <x:c r="D17" s="32" t="str">
        <x:v>Housing services lead</x:v>
      </x:c>
      <x:c r="E17" s="43" t="str">
        <x:v>High</x:v>
      </x:c>
    </x:row>
    <x:row r="18" ht="90" customHeight="1">
      <x:c r="A18" s="42" t="str">
        <x:v>Evidence request</x:v>
      </x:c>
      <x:c r="B18" s="32" t="str">
        <x:v>Request Merge Café Recordbase fields, Excel tracking sheet, and MHUD / Auckland Council templates.</x:v>
      </x:c>
      <x:c r="C18" s="32" t="str">
        <x:v>Needed to map Paula's response into a durable reporting model.</x:v>
      </x:c>
      <x:c r="D18" s="32" t="str">
        <x:v>Paula Bold Wilson</x:v>
      </x:c>
      <x:c r="E18" s="43" t="str">
        <x:v>High</x:v>
      </x:c>
    </x:row>
    <x:row r="19" ht="90" customHeight="1">
      <x:c r="A19" s="42" t="str">
        <x:v>Evidence request</x:v>
      </x:c>
      <x:c r="B19" s="32" t="str">
        <x:v>Request the ECE Excel KPI tracker sample and confirmation of whether the two centres are recorded separately or combined.</x:v>
      </x:c>
      <x:c r="C19" s="32" t="str">
        <x:v>Needed to decide table grain and field design.</x:v>
      </x:c>
      <x:c r="D19" s="32" t="str">
        <x:v>ECE Service Manager</x:v>
      </x:c>
      <x:c r="E19" s="43" t="str">
        <x:v>Medium</x:v>
      </x:c>
    </x:row>
    <x:row r="20" ht="90" customHeight="1">
      <x:c r="A20" s="42" t="str">
        <x:v>Scope confirmation</x:v>
      </x:c>
      <x:c r="B20" s="32" t="str">
        <x:v>Confirm whether addiction counselling is in Ann-Marie's dashboard scope, and identify reporting owner, KPIs, and data source.</x:v>
      </x:c>
      <x:c r="C20" s="32" t="str">
        <x:v>Project brief lists this service area, but no current-state evidence has been collected.</x:v>
      </x:c>
      <x:c r="D20" s="32" t="str">
        <x:v>Ann-Marie Searchfield</x:v>
      </x:c>
      <x:c r="E20" s="43" t="str">
        <x:v>High</x:v>
      </x:c>
    </x:row>
    <x:row r="21" ht="90" customHeight="1">
      <x:c r="A21" s="42" t="str">
        <x:v>Scope confirmation</x:v>
      </x:c>
      <x:c r="B21" s="32" t="str">
        <x:v>Confirm whether Merge Café is the only social enterprise service in dashboard scope, or whether other social enterprise services exist.</x:v>
      </x:c>
      <x:c r="C21" s="32" t="str">
        <x:v>Project brief mentions social enterprise as a service area; relationship to existing rows not confirmed.</x:v>
      </x:c>
      <x:c r="D21" s="32" t="str">
        <x:v>Ann-Marie Searchfield</x:v>
      </x:c>
      <x:c r="E21" s="43" t="str">
        <x:v>High</x:v>
      </x:c>
    </x:row>
    <x:row r="22" ht="90" customHeight="1">
      <x:c r="A22" s="44" t="str">
        <x:v>Definition clarification (ARL)</x:v>
      </x:c>
      <x:c r="B22" s="45" t="str">
        <x:v>Confirm the definitions and relationship between KPM2 tenancy exits (107), KPM2 tenancy terminations (37), and KPM4 tenancy exits (94).</x:v>
      </x:c>
      <x:c r="C22" s="45" t="str">
        <x:v>Without confirmed definitions, dashboard mapping cannot reuse these figures.</x:v>
      </x:c>
      <x:c r="D22" s="45" t="str">
        <x:v>ARL reporting owner (via Michael Chapman / property team)</x:v>
      </x:c>
      <x:c r="E22" s="46" t="str">
        <x:v>High</x:v>
      </x:c>
    </x:row>
  </x:sheetData>
  <x:conditionalFormatting sqref="E5:E22">
    <x:cfRule type="containsText" dxfId="8" priority="1" operator="containsText" text="High"/>
    <x:cfRule type="containsText" dxfId="9" priority="2" operator="containsText" text="Medium"/>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1.290000915527344" hidden="0" customWidth="1"/>
    <x:col min="2" max="2" width="14.109999656677246" hidden="0" customWidth="1"/>
    <x:col min="3" max="3" width="26.3799991607666" hidden="0" customWidth="1"/>
    <x:col min="4" max="4" width="28.829999923706055" hidden="0" customWidth="1"/>
    <x:col min="5" max="5" width="65.63999938964844" hidden="0" customWidth="1"/>
    <x:col min="6" max="6" width="60.7400016784668" hidden="0" customWidth="1"/>
  </x:cols>
  <x:sheetData>
    <x:row r="1">
      <x:c r="A1" s="47" t="str">
        <x:v>Email Evidence Log</x:v>
      </x:c>
      <x:c r="B1" s="48" t="str"/>
      <x:c r="C1" s="48" t="str"/>
      <x:c r="D1" s="48" t="str"/>
      <x:c r="E1" s="48" t="str"/>
      <x:c r="F1" s="48" t="str"/>
      <x:c r="G1" s="48"/>
      <x:c r="H1" s="48"/>
      <x:c r="I1" s="48"/>
      <x:c r="J1" s="48"/>
      <x:c r="K1" s="48"/>
      <x:c r="L1" s="48"/>
      <x:c r="M1" s="48"/>
      <x:c r="N1" s="48"/>
      <x:c r="O1" s="48"/>
      <x:c r="P1" s="48"/>
      <x:c r="Q1" s="48"/>
      <x:c r="R1" s="48"/>
      <x:c r="S1" s="48"/>
      <x:c r="T1" s="48"/>
      <x:c r="U1" s="48"/>
      <x:c r="V1" s="48"/>
      <x:c r="W1" s="48"/>
      <x:c r="X1" s="48"/>
      <x:c r="Y1" s="48"/>
      <x:c r="Z1" s="48"/>
    </x:row>
    <x:row r="2">
      <x:c r="A2" s="3" t="str">
        <x:v>Source metadata used to update this workbook; keep separate from KPI facts.</x:v>
      </x:c>
      <x:c r="B2" t="str"/>
      <x:c r="C2" t="str"/>
      <x:c r="D2" t="str"/>
      <x:c r="E2" t="str"/>
      <x:c r="F2" t="str"/>
    </x:row>
    <x:row r="4" ht="33" customHeight="1">
      <x:c r="A4" s="37" t="str">
        <x:v>Source</x:v>
      </x:c>
      <x:c r="B4" s="38" t="str">
        <x:v>Date</x:v>
      </x:c>
      <x:c r="C4" s="38" t="str">
        <x:v>Sender</x:v>
      </x:c>
      <x:c r="D4" s="38" t="str">
        <x:v>Relevant services</x:v>
      </x:c>
      <x:c r="E4" s="38" t="str">
        <x:v>Confirmed information</x:v>
      </x:c>
      <x:c r="F4" s="39" t="str">
        <x:v>Limitations / caveats</x:v>
      </x:c>
    </x:row>
    <x:row r="5" ht="90" customHeight="1">
      <x:c r="A5" s="40" t="str">
        <x:v>Gmail: Fwd: FW: Lifewise - Data Request; property team response; attachment: CHRA-Key-Performance-Measure-Reporting-Template-2025-26-Annual-Monitoring - ARL.xlsx</x:v>
      </x:c>
      <x:c r="B5" s="29" t="str">
        <x:v>2026-05-05</x:v>
      </x:c>
      <x:c r="C5" s="29" t="str">
        <x:v>Michael Chapman via Maraea Mokaraka</x:v>
      </x:c>
      <x:c r="D5" s="29" t="str">
        <x:v>Property team; ARL / Community-Social Housing; Housing First; Youth Housing</x:v>
      </x:c>
      <x:c r="E5" s="29" t="str">
        <x:v>Community/Social Housing includes Housing First and Youth Housing; KPIs include tenancy sustainment, rent arrears, vacancy rates, response timeframes, compliance, service outputs, funder obligations; sources include property management systems, finance systems, Excel trackers; review monthly and sometimes weekly; MHUD KPM template attached with ARL figures.</x:v>
      </x:c>
      <x:c r="F5" s="41" t="str">
        <x:v>Still needs ownership chain, monthly extract sample, and target/RAG thresholds. ARL workbook is formal annual evidence, not a proven monthly dashboard feed.</x:v>
      </x:c>
    </x:row>
    <x:row r="6" ht="90" customHeight="1">
      <x:c r="A6" s="42" t="str">
        <x:v>Gmail: Fwd: Lifewise - Data Request; attachment: Lifewise Housing Services_ ICG fact sheet .docx</x:v>
      </x:c>
      <x:c r="B6" s="32" t="str">
        <x:v>2026-05-05</x:v>
      </x:c>
      <x:c r="C6" s="32" t="str">
        <x:v>Maraea Mokaraka, Community Housing Manager</x:v>
      </x:c>
      <x:c r="D6" s="32" t="str">
        <x:v>Housing First; Youth Housing; Sustaining Tenancies</x:v>
      </x:c>
      <x:c r="E6" s="32" t="str">
        <x:v>Each sector typically has 1 Service Manager; data tracked includes client demographics, support interactions, housing outcomes, tenancy sustainment rates; data sources include Record Base, Palace, Microsoft Excel, programme spreadsheets, and specialised client management platforms; updates are weekly or monthly; government contracts listed across Lifewise portfolios include MSD, MHUD, Oranga Tamariki, Kāinga Ora; process gaps include manual entry, duplication, integration issues, reconciliation time, inconsistent formats; KPIs reviewed annually.</x:v>
      </x:c>
      <x:c r="F6" s="43" t="str">
        <x:v>The attachment uses broad wording such as typically/common and does not include raw KPI exports, actual targets, field definitions, monthly report samples, sector-specific contract allocation, or named Service Managers. Treat as manager-provided evidence, not a formal recurring KPI dataset.</x:v>
      </x:c>
    </x:row>
    <x:row r="7" ht="90" customHeight="1">
      <x:c r="A7" s="42" t="str">
        <x:v>Gmail: Fwd: FW: Lifewise - Data Request; Merge Café response</x:v>
      </x:c>
      <x:c r="B7" s="32" t="str">
        <x:v>2026-05-05</x:v>
      </x:c>
      <x:c r="C7" s="32" t="str">
        <x:v>Paula Bold Wilson, Service Manager Merge, via Maraea Mokaraka</x:v>
      </x:c>
      <x:c r="D7" s="32" t="str">
        <x:v>Merge Café</x:v>
      </x:c>
      <x:c r="E7" s="32" t="str">
        <x:v>KPIs: 85% immediate needs met, 85% continued engagement, 50% connected to community services; same KPIs across MHUD and Auckland Council; systems include Recordbase, Excel, Microsoft Forms, Lightspeed; frequency is monthly for MHUD and annual for Auckland Council; Excel KPI sheet is tied to funding release and shared with finance business partner.</x:v>
      </x:c>
      <x:c r="F7" s="43" t="str">
        <x:v>Need operational KPI definitions, source fields, Excel tracking sheet, and funder templates before final dashboard schema.</x:v>
      </x:c>
    </x:row>
    <x:row r="8" ht="90" customHeight="1">
      <x:c r="A8" s="42" t="str">
        <x:v>Gmail: Fwd: FW: Lifewise - Data Request; Whānau Services response</x:v>
      </x:c>
      <x:c r="B8" s="32" t="str">
        <x:v>2026-05-07</x:v>
      </x:c>
      <x:c r="C8" s="32" t="str">
        <x:v>Sher Gestro via Maraea Mokaraka</x:v>
      </x:c>
      <x:c r="D8" s="32" t="str">
        <x:v>Whānau Services</x:v>
      </x:c>
      <x:c r="E8" s="32" t="str">
        <x:v>Contracts/funding lines listed: OT / Mana Whānau, MSD - Whānau Resilience, MoJ - Parenting through Separation. KPIs include families receiving intervention, starts per month, FTE, declined referrals, waitlist, incomplete/completed interventions, needs met at 80% of goals achieved, children remaining at home; MoJ course participants/courses/follow-up/contact/feedback. Source is Recordbase and manual.</x:v>
      </x:c>
      <x:c r="F8" s="43" t="str">
        <x:v>Response explicitly says there are substantial gaps in recording information. Future desired fields should not be treated as current captured KPIs until confirmed.</x:v>
      </x:c>
    </x:row>
    <x:row r="9" ht="90" customHeight="1">
      <x:c r="A9" s="44" t="str">
        <x:v>Gmail: Fwd: FW: Quality Plan-Service Specific-ECE Lifewise Services 2026; attachment: Quality Plan-Service Specific-ECE Lifewise Services 2026.docx</x:v>
      </x:c>
      <x:c r="B9" s="45" t="str">
        <x:v>2026-05-05</x:v>
      </x:c>
      <x:c r="C9" s="45" t="str">
        <x:v>Maraea Mokaraka forwarding ECE service response</x:v>
      </x:c>
      <x:c r="D9" s="45" t="str">
        <x:v>ECE - Waimumu Road Preschool; Royal Road Preschool</x:v>
      </x:c>
      <x:c r="E9" s="45" t="str">
        <x:v>Confirms ECE sector, two centres, 1 ECE Service Manager, Ministry of Education funding plus parent fees/contributions, targets for occupancy, funded hours, qualification mix, training, incident/complaints timeliness, audit, CAPA, regulatory self-audit and priority whānau engagement. Confirms sources/systems: Infocare, finance reporting, LMS / HR Bamboo, service registers, Teams/SharePoint, Excel KPI tracker / draft dashboard dataset.</x:v>
      </x:c>
      <x:c r="F9" s="46" t="str">
        <x:v>Attachment is a quality-plan / scoping response, not the actual KPI tracker or raw monthly history. Still need tracker structure, centre-level grain, final KPI definition owner, and split between contract/licensing obligations and internal management KPIs.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1.290000915527344" hidden="0" customWidth="1"/>
    <x:col min="2" max="2" width="31.290000915527344" hidden="0" customWidth="1"/>
    <x:col min="3" max="3" width="68.0999984741211" hidden="0" customWidth="1"/>
    <x:col min="4" max="4" width="31.290000915527344" hidden="0" customWidth="1"/>
  </x:cols>
  <x:sheetData>
    <x:row r="1">
      <x:c r="A1" s="47" t="str">
        <x:v>Dashboard Design Recommendations</x:v>
      </x:c>
      <x:c r="B1" s="48" t="str"/>
      <x:c r="C1" s="48" t="str"/>
      <x:c r="D1" s="48" t="str"/>
      <x:c r="E1" s="48"/>
      <x:c r="F1" s="48"/>
      <x:c r="G1" s="48"/>
      <x:c r="H1" s="48"/>
      <x:c r="I1" s="48"/>
      <x:c r="J1" s="48"/>
      <x:c r="K1" s="48"/>
      <x:c r="L1" s="48"/>
      <x:c r="M1" s="48"/>
      <x:c r="N1" s="48"/>
      <x:c r="O1" s="48"/>
      <x:c r="P1" s="48"/>
      <x:c r="Q1" s="48"/>
      <x:c r="R1" s="48"/>
      <x:c r="S1" s="48"/>
      <x:c r="T1" s="48"/>
      <x:c r="U1" s="48"/>
      <x:c r="V1" s="48"/>
      <x:c r="W1" s="48"/>
      <x:c r="X1" s="48"/>
      <x:c r="Y1" s="48"/>
      <x:c r="Z1" s="48"/>
    </x:row>
    <x:row r="2">
      <x:c r="A2" s="3" t="str">
        <x:v>This sheet contains consultant analysis and design recommendations. Unlike the Master Current State sheet, content here reflects subjective judgement about how each service may fit into dashboard prototyping. It should be reviewed and confirmed with the client before being treated as final scope.</x:v>
      </x:c>
      <x:c r="B2" t="str"/>
      <x:c r="C2" t="str"/>
      <x:c r="D2" t="str"/>
    </x:row>
    <x:row r="4" ht="33" customHeight="1">
      <x:c r="A4" s="37" t="str">
        <x:v>Service sector / owner</x:v>
      </x:c>
      <x:c r="B4" s="38" t="str">
        <x:v>Dashboard design role</x:v>
      </x:c>
      <x:c r="C4" s="38" t="str">
        <x:v>Rationale</x:v>
      </x:c>
      <x:c r="D4" s="39" t="str">
        <x:v>Confirmation status</x:v>
      </x:c>
    </x:row>
    <x:row r="5" ht="90" customHeight="1">
      <x:c r="A5" s="40" t="str">
        <x:v>Property team</x:v>
      </x:c>
      <x:c r="B5" s="29" t="str">
        <x:v>Data owner / supporting source</x:v>
      </x:c>
      <x:c r="C5" s="29" t="str">
        <x:v>Confirmed by Michael Chapman email as data provider for Community / Social Housing including Housing First and Youth Housing, not an independent service sector.</x:v>
      </x:c>
      <x:c r="D5" s="41" t="str">
        <x:v>Consultant view; to be confirmed with client.</x:v>
      </x:c>
    </x:row>
    <x:row r="6" ht="90" customHeight="1">
      <x:c r="A6" s="42" t="str">
        <x:v>ARL / Community-Social Housing</x:v>
      </x:c>
      <x:c r="B6" s="32" t="str">
        <x:v>Core prototype candidate</x:v>
      </x:c>
      <x:c r="C6" s="32" t="str">
        <x:v>Has formal CHRA / MHUD annual template with actual figures; strongest current evidence base.</x:v>
      </x:c>
      <x:c r="D6" s="43" t="str">
        <x:v>Consultant view; to be confirmed with client.</x:v>
      </x:c>
    </x:row>
    <x:row r="7" ht="90" customHeight="1">
      <x:c r="A7" s="42" t="str">
        <x:v>ECE</x:v>
      </x:c>
      <x:c r="B7" s="32" t="str">
        <x:v>Core prototype candidate</x:v>
      </x:c>
      <x:c r="C7" s="32" t="str">
        <x:v>Quality plan response provides relatively complete KPI structure, targets, source systems, owner, and frequency.</x:v>
      </x:c>
      <x:c r="D7" s="43" t="str">
        <x:v>Consultant view; to be confirmed with client.</x:v>
      </x:c>
    </x:row>
    <x:row r="8" ht="90" customHeight="1">
      <x:c r="A8" s="42" t="str">
        <x:v>Merge Café</x:v>
      </x:c>
      <x:c r="B8" s="32" t="str">
        <x:v>Simple KPI demonstration</x:v>
      </x:c>
      <x:c r="C8" s="32" t="str">
        <x:v>Three KPIs with known targets; suitable for early RAG status and monthly input pattern demonstration, pending KPI definition confirmation.</x:v>
      </x:c>
      <x:c r="D8" s="43" t="str">
        <x:v>Consultant view; to be confirmed with client.</x:v>
      </x:c>
    </x:row>
    <x:row r="9" ht="90" customHeight="1">
      <x:c r="A9" s="42" t="str">
        <x:v>Housing First</x:v>
      </x:c>
      <x:c r="B9" s="32" t="str">
        <x:v>Discovery required before dashboarding</x:v>
      </x:c>
      <x:c r="C9" s="32" t="str">
        <x:v>Current evidence is background-level; KPI definitions, targets, source fields, and named owner not yet confirmed.</x:v>
      </x:c>
      <x:c r="D9" s="43" t="str">
        <x:v>Consultant view; to be confirmed with client.</x:v>
      </x:c>
    </x:row>
    <x:row r="10" ht="90" customHeight="1">
      <x:c r="A10" s="42" t="str">
        <x:v>Youth Housing</x:v>
      </x:c>
      <x:c r="B10" s="32" t="str">
        <x:v>Discovery required before dashboarding</x:v>
      </x:c>
      <x:c r="C10" s="32" t="str">
        <x:v>Current evidence is background-level; KPI definitions, targets, source fields, and named owner not yet confirmed.</x:v>
      </x:c>
      <x:c r="D10" s="43" t="str">
        <x:v>Consultant view; to be confirmed with client.</x:v>
      </x:c>
    </x:row>
    <x:row r="11" ht="90" customHeight="1">
      <x:c r="A11" s="42" t="str">
        <x:v>Sustaining Tenancies</x:v>
      </x:c>
      <x:c r="B11" s="32" t="str">
        <x:v>Discovery required before dashboarding</x:v>
      </x:c>
      <x:c r="C11" s="32" t="str">
        <x:v>Current evidence is background-level; KPI definitions, targets, source fields, and named owner not yet confirmed.</x:v>
      </x:c>
      <x:c r="D11" s="43" t="str">
        <x:v>Consultant view; to be confirmed with client.</x:v>
      </x:c>
    </x:row>
    <x:row r="12" ht="90" customHeight="1">
      <x:c r="A12" s="42" t="str">
        <x:v>Whānau Services</x:v>
      </x:c>
      <x:c r="B12" s="32" t="str">
        <x:v>Data capture gap priority</x:v>
      </x:c>
      <x:c r="C12" s="32" t="str">
        <x:v>Client response confirms substantial data capture gaps; issue is not reporting automation but underlying data collection.</x:v>
      </x:c>
      <x:c r="D12" s="43" t="str">
        <x:v>Consultant view; to be confirmed with client.</x:v>
      </x:c>
    </x:row>
    <x:row r="13" ht="90" customHeight="1">
      <x:c r="A13" s="42" t="str">
        <x:v>Addiction counselling</x:v>
      </x:c>
      <x:c r="B13" s="32" t="str">
        <x:v>Scope confirmation required</x:v>
      </x:c>
      <x:c r="C13" s="32" t="str">
        <x:v>Mentioned in project brief; no service-specific response received.</x:v>
      </x:c>
      <x:c r="D13" s="43" t="str">
        <x:v>Consultant view; to be confirmed with client.</x:v>
      </x:c>
    </x:row>
    <x:row r="14" ht="90" customHeight="1">
      <x:c r="A14" s="44" t="str">
        <x:v>Social enterprise</x:v>
      </x:c>
      <x:c r="B14" s="45" t="str">
        <x:v>Scope confirmation required</x:v>
      </x:c>
      <x:c r="C14" s="45" t="str">
        <x:v>Mentioned in project brief; relationship to Merge Café or other services not confirmed.</x:v>
      </x:c>
      <x:c r="D14" s="46" t="str">
        <x:v>Consultant view; to be confirmed with client.</x:v>
      </x:c>
    </x:row>
  </x:sheetData>
  <x:pageMargins left="0.7" right="0.7" top="0.75" bottom="0.75" header="0.3" footer="0.3"/>
</x:worksheet>
</file>